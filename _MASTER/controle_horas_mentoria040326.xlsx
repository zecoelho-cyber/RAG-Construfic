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istro de Hor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Dash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"/>
    <numFmt numFmtId="166" formatCode="0.0%"/>
    <numFmt numFmtId="167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761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1E2761"/>
      <sz val="16"/>
    </font>
    <font>
      <name val="Arial"/>
      <charset val="1"/>
      <family val="0"/>
      <b val="1"/>
      <color rgb="FF666666"/>
      <sz val="10"/>
    </font>
    <font>
      <name val="Arial"/>
      <charset val="1"/>
      <family val="0"/>
      <i val="1"/>
      <color rgb="FF999999"/>
      <sz val="9"/>
    </font>
    <font>
      <name val="Arial"/>
      <charset val="1"/>
      <family val="0"/>
      <b val="1"/>
      <color rgb="FF1E2761"/>
      <sz val="22"/>
    </font>
    <font>
      <name val="Arial"/>
      <charset val="1"/>
      <family val="0"/>
      <b val="1"/>
      <color rgb="FF27AE60"/>
      <sz val="22"/>
    </font>
    <font>
      <name val="Arial"/>
      <charset val="1"/>
      <family val="0"/>
      <b val="1"/>
      <color rgb="FFE67E22"/>
      <sz val="22"/>
    </font>
    <font>
      <name val="Arial"/>
      <charset val="1"/>
      <family val="0"/>
      <b val="1"/>
      <color rgb="FF3498DB"/>
      <sz val="22"/>
    </font>
    <font>
      <name val="Arial"/>
      <charset val="1"/>
      <family val="0"/>
      <b val="1"/>
      <color rgb="FF1E2761"/>
      <sz val="13"/>
    </font>
    <font>
      <name val="Arial"/>
      <charset val="1"/>
      <family val="0"/>
      <b val="1"/>
      <color rgb="FF27AE60"/>
      <sz val="10"/>
    </font>
    <font>
      <name val="Arial"/>
      <charset val="1"/>
      <family val="0"/>
      <b val="1"/>
      <color rgb="FFE67E22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1E2761"/>
        <bgColor rgb="FF2C3E50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2C3E50"/>
        <bgColor rgb="FF1E2761"/>
      </patternFill>
    </fill>
    <fill>
      <patternFill patternType="solid">
        <fgColor rgb="FFE8F5E9"/>
        <bgColor rgb="FFF2F2F2"/>
      </patternFill>
    </fill>
    <fill>
      <patternFill patternType="solid">
        <fgColor rgb="FFFFF8E1"/>
        <bgColor rgb="FFF5F5F5"/>
      </patternFill>
    </fill>
    <fill>
      <patternFill patternType="solid">
        <fgColor rgb="FFFBE9E7"/>
        <bgColor rgb="FFF2F2F2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 wrapText="1"/>
    </xf>
    <xf numFmtId="167" fontId="21" fillId="3" borderId="7" applyAlignment="1" pivotButton="0" quotePrefix="0" xfId="0">
      <alignment horizontal="center" vertical="center" wrapText="1"/>
    </xf>
    <xf numFmtId="0" fontId="21" fillId="3" borderId="7" applyAlignment="1" pivotButton="0" quotePrefix="0" xfId="0">
      <alignment horizontal="center" vertical="center" wrapText="1"/>
    </xf>
    <xf numFmtId="0" fontId="21" fillId="3" borderId="7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166" fontId="7" fillId="3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6" pivotButton="0" quotePrefix="0" xfId="0"/>
    <xf numFmtId="166" fontId="6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23B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BE9E7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E67E22"/>
      <rgbColor rgb="FFFF6F00"/>
      <rgbColor rgb="FF666666"/>
      <rgbColor rgb="FF999999"/>
      <rgbColor rgb="FF1E2761"/>
      <rgbColor rgb="FF27AE60"/>
      <rgbColor rgb="FF003300"/>
      <rgbColor rgb="FF1A1A1A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823B"/>
    <outlinePr summaryBelow="1" summaryRight="1"/>
    <pageSetUpPr fitToPage="0"/>
  </sheetPr>
  <dimension ref="A1:H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37" min="1" max="1"/>
    <col width="12" customWidth="1" style="37" min="2" max="2"/>
    <col width="18" customWidth="1" style="37" min="3" max="4"/>
    <col width="60" customWidth="1" style="37" min="5" max="5"/>
    <col width="30" customWidth="1" style="37" min="6" max="6"/>
    <col width="8" customWidth="1" style="37" min="7" max="7"/>
    <col width="10" customWidth="1" style="37" min="8" max="8"/>
  </cols>
  <sheetData>
    <row r="1" ht="17.25" customHeight="1" s="38">
      <c r="A1" s="39" t="inlineStr">
        <is>
          <t>CONTROLE DE HORAS — MENTORIA IA CONSTRUFIC</t>
        </is>
      </c>
    </row>
    <row r="2" ht="15" customHeight="1" s="38">
      <c r="A2" s="40" t="inlineStr">
        <is>
          <t>ZTHUB — Ze Coelho, CTO Advisor | Cliente: Antonio Figueiredo (CEO)</t>
        </is>
      </c>
    </row>
    <row r="4" ht="15" customHeight="1" s="38">
      <c r="A4" s="41" t="inlineStr">
        <is>
          <t>Data</t>
        </is>
      </c>
      <c r="B4" s="41" t="inlineStr">
        <is>
          <t>Dia</t>
        </is>
      </c>
      <c r="C4" s="41" t="inlineStr">
        <is>
          <t>Tipo</t>
        </is>
      </c>
      <c r="D4" s="41" t="inlineStr">
        <is>
          <t>Local</t>
        </is>
      </c>
      <c r="E4" s="41" t="inlineStr">
        <is>
          <t>Descricao da Atividade</t>
        </is>
      </c>
      <c r="F4" s="41" t="inlineStr">
        <is>
          <t>Participantes</t>
        </is>
      </c>
      <c r="G4" s="41" t="inlineStr">
        <is>
          <t>Horas</t>
        </is>
      </c>
      <c r="H4" s="41" t="inlineStr">
        <is>
          <t>Semana</t>
        </is>
      </c>
    </row>
    <row r="5" ht="45.75" customHeight="1" s="38">
      <c r="A5" s="42" t="inlineStr">
        <is>
          <t>2026-03-01</t>
        </is>
      </c>
      <c r="B5" s="43" t="inlineStr">
        <is>
          <t>Domingo</t>
        </is>
      </c>
      <c r="C5" s="43" t="inlineStr">
        <is>
          <t>Trabalho Remoto</t>
        </is>
      </c>
      <c r="D5" s="43" t="inlineStr">
        <is>
          <t>Home Office</t>
        </is>
      </c>
      <c r="E5" s="44" t="inlineStr">
        <is>
          <t>Preparacao do plano de mentoria v4 (32 paginas). Pesquisa de mercado: solucoes RAG para varejo, analise competitiva TOTVS, benchmarks LLM. Criacao dos roteiros de entrevista (Apendices D-H). Analise de custos e ROI.</t>
        </is>
      </c>
      <c r="F5" s="44" t="inlineStr">
        <is>
          <t>Ze Coelho</t>
        </is>
      </c>
      <c r="G5" s="45" t="n">
        <v>4</v>
      </c>
      <c r="H5" s="43" t="n">
        <v>1</v>
      </c>
    </row>
    <row r="6" ht="45.75" customHeight="1" s="38">
      <c r="A6" s="46" t="inlineStr">
        <is>
          <t>2026-03-02</t>
        </is>
      </c>
      <c r="B6" s="47" t="inlineStr">
        <is>
          <t>Segunda</t>
        </is>
      </c>
      <c r="C6" s="47" t="inlineStr">
        <is>
          <t>Reuniao Presencial</t>
        </is>
      </c>
      <c r="D6" s="47" t="inlineStr">
        <is>
          <t>Construfic — Avare</t>
        </is>
      </c>
      <c r="E6" s="48" t="inlineStr">
        <is>
          <t>Reuniao de Alinhamento Inicial com CEO Antonio Figueiredo e Gerente Diogo. Diagnostico dor central (estoque), estrategia IA, arquitetura Data Lake, benchmarking, plano execucao MVP.</t>
        </is>
      </c>
      <c r="F6" s="48" t="inlineStr">
        <is>
          <t>Antonio (CEO), Diogo (Gerente), Ze Coelho</t>
        </is>
      </c>
      <c r="G6" s="49" t="n">
        <v>1.5</v>
      </c>
      <c r="H6" s="47" t="n">
        <v>1</v>
      </c>
    </row>
    <row r="7" ht="34.5" customHeight="1" s="38">
      <c r="A7" s="42" t="inlineStr">
        <is>
          <t>2026-03-02</t>
        </is>
      </c>
      <c r="B7" s="43" t="inlineStr">
        <is>
          <t>Segunda</t>
        </is>
      </c>
      <c r="C7" s="43" t="inlineStr">
        <is>
          <t>Trabalho Remoto</t>
        </is>
      </c>
      <c r="D7" s="43" t="inlineStr">
        <is>
          <t>Home Office</t>
        </is>
      </c>
      <c r="E7" s="44" t="inlineStr">
        <is>
          <t>Atualizacao do plano de mentoria com base na reuniao. Correcao ERP (Santri), ajuste CSAT, novos requisitos WhatsApp audio, visao computacional.</t>
        </is>
      </c>
      <c r="F7" s="44" t="inlineStr">
        <is>
          <t>Ze Coelho</t>
        </is>
      </c>
      <c r="G7" s="45" t="n">
        <v>2</v>
      </c>
      <c r="H7" s="43" t="n">
        <v>1</v>
      </c>
    </row>
    <row r="8" ht="45.75" customHeight="1" s="38">
      <c r="A8" s="46" t="inlineStr">
        <is>
          <t>2026-03-03</t>
        </is>
      </c>
      <c r="B8" s="47" t="inlineStr">
        <is>
          <t>Terca</t>
        </is>
      </c>
      <c r="C8" s="47" t="inlineStr">
        <is>
          <t>Reuniao Presencial</t>
        </is>
      </c>
      <c r="D8" s="47" t="inlineStr">
        <is>
          <t>Construfic — Avare</t>
        </is>
      </c>
      <c r="E8" s="48" t="inlineStr">
        <is>
          <t>Reuniao de Diagnostico Operacional e Tecnologico com CEO, Gerente Diogo e Tecnico Daniel. Infraestrutura TI, processos venda, CRM, equipe, oportunidades IA. Duracao: ~2h30.</t>
        </is>
      </c>
      <c r="F8" s="48" t="inlineStr">
        <is>
          <t>Antonio (CEO), Diogo (Gerente), Daniel (TI), Ze Coelho</t>
        </is>
      </c>
      <c r="G8" s="49" t="n">
        <v>2.5</v>
      </c>
      <c r="H8" s="47" t="n">
        <v>1</v>
      </c>
    </row>
    <row r="9" ht="23.25" customHeight="1" s="38">
      <c r="A9" s="42" t="inlineStr">
        <is>
          <t>2026-03-03</t>
        </is>
      </c>
      <c r="B9" s="43" t="inlineStr">
        <is>
          <t>Terca</t>
        </is>
      </c>
      <c r="C9" s="43" t="inlineStr">
        <is>
          <t>Trabalho Remoto</t>
        </is>
      </c>
      <c r="D9" s="43" t="inlineStr">
        <is>
          <t>Home Office</t>
        </is>
      </c>
      <c r="E9" s="44" t="inlineStr">
        <is>
          <t>Consolidacao e analise da reuniao. Atualizacao entregaveis (docx v4, pptx Matrix 26 slides, resumo markdown v3).</t>
        </is>
      </c>
      <c r="F9" s="44" t="inlineStr">
        <is>
          <t>Ze Coelho</t>
        </is>
      </c>
      <c r="G9" s="45" t="n">
        <v>3</v>
      </c>
      <c r="H9" s="43" t="n">
        <v>1</v>
      </c>
    </row>
    <row r="10" ht="34.5" customHeight="1" s="38">
      <c r="A10" s="46" t="inlineStr">
        <is>
          <t>2026-03-04</t>
        </is>
      </c>
      <c r="B10" s="47" t="inlineStr">
        <is>
          <t>Quarta</t>
        </is>
      </c>
      <c r="C10" s="47" t="inlineStr">
        <is>
          <t>Reuniao Remota</t>
        </is>
      </c>
      <c r="D10" s="47" t="inlineStr">
        <is>
          <t>Virtual</t>
        </is>
      </c>
      <c r="E10" s="48" t="inlineStr">
        <is>
          <t>Reuniao de revisao com Marco Lauria (I2AI) — best practices, alternativas e possibilidades para o projeto. Validacao da abordagem RAG, sugestoes de arquitetura.</t>
        </is>
      </c>
      <c r="F10" s="48" t="inlineStr">
        <is>
          <t>Ze Coelho, Marco Lauria (I2AI)</t>
        </is>
      </c>
      <c r="G10" s="49" t="n">
        <v>1</v>
      </c>
      <c r="H10" s="47" t="n">
        <v>1</v>
      </c>
    </row>
    <row r="11" ht="34.5" customHeight="1" s="38">
      <c r="A11" s="42" t="inlineStr">
        <is>
          <t>2026-03-04</t>
        </is>
      </c>
      <c r="B11" s="43" t="inlineStr">
        <is>
          <t>Quarta</t>
        </is>
      </c>
      <c r="C11" s="43" t="inlineStr">
        <is>
          <t>Trabalho Remoto</t>
        </is>
      </c>
      <c r="D11" s="43" t="inlineStr">
        <is>
          <t>Home Office</t>
        </is>
      </c>
      <c r="E11" s="44" t="inlineStr">
        <is>
          <t>Transcricao da reuniao de 03/03 (Whisper). Geracao de ata formal. Criacao documento Q&amp;A completo (158 perguntas mapeadas). Planilha controle horas.</t>
        </is>
      </c>
      <c r="F11" s="44" t="inlineStr">
        <is>
          <t>Ze Coelho</t>
        </is>
      </c>
      <c r="G11" s="45" t="n">
        <v>3</v>
      </c>
      <c r="H11" s="43" t="n">
        <v>1</v>
      </c>
    </row>
    <row r="12" ht="15" customHeight="1" s="38">
      <c r="A12" s="50" t="inlineStr">
        <is>
          <t>2026-03-05</t>
        </is>
      </c>
      <c r="B12" s="51" t="inlineStr">
        <is>
          <t>Quinta</t>
        </is>
      </c>
      <c r="C12" s="51" t="inlineStr">
        <is>
          <t>Reuniao Presencial</t>
        </is>
      </c>
      <c r="D12" s="51" t="inlineStr">
        <is>
          <t>Construfic — Avare</t>
        </is>
      </c>
      <c r="E12" s="52" t="inlineStr">
        <is>
          <t>Imersão Técnica TI — Reunião com Daniel (Apêndice E): mapeamento de infraestrutura, hardware, rede, backups, segurança</t>
        </is>
      </c>
      <c r="F12" s="52" t="inlineStr">
        <is>
          <t>Ze Coelho, Daniel (TI)</t>
        </is>
      </c>
      <c r="G12" s="51" t="n">
        <v>2.5</v>
      </c>
      <c r="H12" s="51" t="n">
        <v>2</v>
      </c>
    </row>
    <row r="13" ht="15" customHeight="1" s="38">
      <c r="A13" s="53" t="n"/>
      <c r="B13" s="53" t="n"/>
      <c r="C13" s="53" t="n"/>
      <c r="D13" s="53" t="n"/>
      <c r="E13" s="54" t="n"/>
      <c r="F13" s="54" t="n"/>
      <c r="G13" s="53" t="n"/>
      <c r="H13" s="53" t="n"/>
    </row>
    <row r="14" ht="15" customHeight="1" s="38">
      <c r="A14" s="55" t="n"/>
      <c r="B14" s="55" t="n"/>
      <c r="C14" s="55" t="n"/>
      <c r="D14" s="55" t="n"/>
      <c r="E14" s="56" t="n"/>
      <c r="F14" s="56" t="n"/>
      <c r="G14" s="55" t="n"/>
      <c r="H14" s="55" t="n"/>
    </row>
    <row r="15" ht="15" customHeight="1" s="38">
      <c r="A15" s="53" t="n"/>
      <c r="B15" s="53" t="n"/>
      <c r="C15" s="53" t="n"/>
      <c r="D15" s="53" t="n"/>
      <c r="E15" s="54" t="n"/>
      <c r="F15" s="54" t="n"/>
      <c r="G15" s="53" t="n"/>
      <c r="H15" s="53" t="n"/>
    </row>
    <row r="16" ht="15" customHeight="1" s="38">
      <c r="A16" s="55" t="n"/>
      <c r="B16" s="55" t="n"/>
      <c r="C16" s="55" t="n"/>
      <c r="D16" s="55" t="n"/>
      <c r="E16" s="56" t="n"/>
      <c r="F16" s="56" t="n"/>
      <c r="G16" s="55" t="n"/>
      <c r="H16" s="55" t="n"/>
    </row>
    <row r="17" ht="15" customHeight="1" s="38">
      <c r="A17" s="53" t="n"/>
      <c r="B17" s="53" t="n"/>
      <c r="C17" s="53" t="n"/>
      <c r="D17" s="53" t="n"/>
      <c r="E17" s="54" t="n"/>
      <c r="F17" s="54" t="n"/>
      <c r="G17" s="53" t="n"/>
      <c r="H17" s="53" t="n"/>
    </row>
    <row r="18" ht="15" customHeight="1" s="38">
      <c r="A18" s="55" t="n"/>
      <c r="B18" s="55" t="n"/>
      <c r="C18" s="55" t="n"/>
      <c r="D18" s="55" t="n"/>
      <c r="E18" s="56" t="n"/>
      <c r="F18" s="56" t="n"/>
      <c r="G18" s="55" t="n"/>
      <c r="H18" s="55" t="n"/>
    </row>
    <row r="19" ht="15" customHeight="1" s="38">
      <c r="A19" s="53" t="n"/>
      <c r="B19" s="53" t="n"/>
      <c r="C19" s="53" t="n"/>
      <c r="D19" s="53" t="n"/>
      <c r="E19" s="54" t="n"/>
      <c r="F19" s="54" t="n"/>
      <c r="G19" s="53" t="n"/>
      <c r="H19" s="53" t="n"/>
    </row>
    <row r="20" ht="15" customHeight="1" s="38">
      <c r="A20" s="55" t="n"/>
      <c r="B20" s="55" t="n"/>
      <c r="C20" s="55" t="n"/>
      <c r="D20" s="55" t="n"/>
      <c r="E20" s="56" t="n"/>
      <c r="F20" s="56" t="n"/>
      <c r="G20" s="55" t="n"/>
      <c r="H20" s="55" t="n"/>
    </row>
    <row r="21" ht="15" customHeight="1" s="38">
      <c r="A21" s="53" t="n"/>
      <c r="B21" s="53" t="n"/>
      <c r="C21" s="53" t="n"/>
      <c r="D21" s="53" t="n"/>
      <c r="E21" s="54" t="n"/>
      <c r="F21" s="54" t="n"/>
      <c r="G21" s="53" t="n"/>
      <c r="H21" s="53" t="n"/>
    </row>
    <row r="22" ht="15" customHeight="1" s="38">
      <c r="A22" s="55" t="n"/>
      <c r="B22" s="55" t="n"/>
      <c r="C22" s="55" t="n"/>
      <c r="D22" s="55" t="n"/>
      <c r="E22" s="56" t="n"/>
      <c r="F22" s="56" t="n"/>
      <c r="G22" s="55" t="n"/>
      <c r="H22" s="55" t="n"/>
    </row>
    <row r="23" ht="15" customHeight="1" s="38">
      <c r="A23" s="53" t="n"/>
      <c r="B23" s="53" t="n"/>
      <c r="C23" s="53" t="n"/>
      <c r="D23" s="53" t="n"/>
      <c r="E23" s="54" t="n"/>
      <c r="F23" s="54" t="n"/>
      <c r="G23" s="53" t="n"/>
      <c r="H23" s="53" t="n"/>
    </row>
    <row r="24" ht="15" customHeight="1" s="38">
      <c r="A24" s="55" t="n"/>
      <c r="B24" s="55" t="n"/>
      <c r="C24" s="55" t="n"/>
      <c r="D24" s="55" t="n"/>
      <c r="E24" s="56" t="n"/>
      <c r="F24" s="56" t="n"/>
      <c r="G24" s="55" t="n"/>
      <c r="H24" s="55" t="n"/>
    </row>
    <row r="25" ht="15" customHeight="1" s="38">
      <c r="A25" s="53" t="n"/>
      <c r="B25" s="53" t="n"/>
      <c r="C25" s="53" t="n"/>
      <c r="D25" s="53" t="n"/>
      <c r="E25" s="54" t="n"/>
      <c r="F25" s="54" t="n"/>
      <c r="G25" s="53" t="n"/>
      <c r="H25" s="53" t="n"/>
    </row>
    <row r="26" ht="15" customHeight="1" s="38">
      <c r="A26" s="55" t="n"/>
      <c r="B26" s="55" t="n"/>
      <c r="C26" s="55" t="n"/>
      <c r="D26" s="55" t="n"/>
      <c r="E26" s="56" t="n"/>
      <c r="F26" s="56" t="n"/>
      <c r="G26" s="55" t="n"/>
      <c r="H26" s="55" t="n"/>
    </row>
    <row r="27" ht="15" customHeight="1" s="38">
      <c r="A27" s="53" t="n"/>
      <c r="B27" s="53" t="n"/>
      <c r="C27" s="53" t="n"/>
      <c r="D27" s="53" t="n"/>
      <c r="E27" s="54" t="n"/>
      <c r="F27" s="54" t="n"/>
      <c r="G27" s="53" t="n"/>
      <c r="H27" s="53" t="n"/>
    </row>
    <row r="28" ht="15" customHeight="1" s="38">
      <c r="A28" s="55" t="n"/>
      <c r="B28" s="55" t="n"/>
      <c r="C28" s="55" t="n"/>
      <c r="D28" s="55" t="n"/>
      <c r="E28" s="56" t="n"/>
      <c r="F28" s="56" t="n"/>
      <c r="G28" s="55" t="n"/>
      <c r="H28" s="55" t="n"/>
    </row>
    <row r="29" ht="15" customHeight="1" s="38">
      <c r="A29" s="53" t="n"/>
      <c r="B29" s="53" t="n"/>
      <c r="C29" s="53" t="n"/>
      <c r="D29" s="53" t="n"/>
      <c r="E29" s="54" t="n"/>
      <c r="F29" s="54" t="n"/>
      <c r="G29" s="53" t="n"/>
      <c r="H29" s="53" t="n"/>
    </row>
    <row r="30" ht="15" customHeight="1" s="38">
      <c r="A30" s="55" t="n"/>
      <c r="B30" s="55" t="n"/>
      <c r="C30" s="55" t="n"/>
      <c r="D30" s="55" t="n"/>
      <c r="E30" s="56" t="n"/>
      <c r="F30" s="56" t="n"/>
      <c r="G30" s="55" t="n"/>
      <c r="H30" s="55" t="n"/>
    </row>
    <row r="31" ht="15" customHeight="1" s="38">
      <c r="A31" s="53" t="n"/>
      <c r="B31" s="53" t="n"/>
      <c r="C31" s="53" t="n"/>
      <c r="D31" s="53" t="n"/>
      <c r="E31" s="54" t="n"/>
      <c r="F31" s="54" t="n"/>
      <c r="G31" s="53" t="n"/>
      <c r="H31" s="53" t="n"/>
    </row>
    <row r="32" ht="15" customHeight="1" s="38">
      <c r="A32" s="57" t="inlineStr">
        <is>
          <t>TOTAL DE HORAS</t>
        </is>
      </c>
      <c r="B32" s="58" t="n"/>
      <c r="C32" s="58" t="n"/>
      <c r="D32" s="58" t="n"/>
      <c r="E32" s="58" t="n"/>
      <c r="F32" s="58" t="n"/>
      <c r="G32" s="49">
        <f>SUM(G5:G31)</f>
        <v/>
      </c>
    </row>
  </sheetData>
  <mergeCells count="3">
    <mergeCell ref="A2:H2"/>
    <mergeCell ref="A32:F32"/>
    <mergeCell ref="A1:H1"/>
  </mergeCells>
  <dataValidations count="2">
    <dataValidation sqref="C5:C31" showDropDown="0" showInputMessage="0" showErrorMessage="0" allowBlank="1" errorTitle="Tipo invalido" error="Selecione um tipo valido" type="list" errorStyle="stop" operator="between">
      <formula1>"Reuniao Presencial,Reuniao Remota,Trabalho Remoto,Visita Benchmarking,Treinamento"</formula1>
      <formula2>0</formula2>
    </dataValidation>
    <dataValidation sqref="D5:D31" showDropDown="0" showInputMessage="0" showErrorMessage="0" allowBlank="1" type="list" errorStyle="stop" operator="between">
      <formula1>"Construfic — Avare,Home Office,Virtual,Leroy Sorocaba,Unicamp Campinas,Outro"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565C0"/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37" min="1" max="1"/>
    <col width="20" customWidth="1" style="37" min="2" max="2"/>
    <col width="16" customWidth="1" style="37" min="3" max="4"/>
    <col width="12" customWidth="1" style="37" min="5" max="6"/>
    <col width="55" customWidth="1" style="37" min="7" max="7"/>
  </cols>
  <sheetData>
    <row r="1" ht="17.25" customHeight="1" s="38">
      <c r="A1" s="39" t="inlineStr">
        <is>
          <t>RELATORIO SEMANAL DE MENTORIA — CONSTRUFIC</t>
        </is>
      </c>
    </row>
    <row r="2" ht="15" customHeight="1" s="38">
      <c r="A2" s="40" t="inlineStr">
        <is>
          <t>Para: Antonio Figueiredo (CEO) | De: Ze Coelho (CTO Advisor)</t>
        </is>
      </c>
    </row>
    <row r="4" ht="23.25" customHeight="1" s="38">
      <c r="A4" s="41" t="inlineStr">
        <is>
          <t>Semana</t>
        </is>
      </c>
      <c r="B4" s="41" t="inlineStr">
        <is>
          <t>Periodo</t>
        </is>
      </c>
      <c r="C4" s="41" t="inlineStr">
        <is>
          <t>Horas Presencial</t>
        </is>
      </c>
      <c r="D4" s="41" t="inlineStr">
        <is>
          <t>Horas Remoto</t>
        </is>
      </c>
      <c r="E4" s="41" t="inlineStr">
        <is>
          <t>Horas Total</t>
        </is>
      </c>
      <c r="F4" s="41" t="inlineStr">
        <is>
          <t>% Acumulado</t>
        </is>
      </c>
      <c r="G4" s="41" t="inlineStr">
        <is>
          <t>Atividades Principais</t>
        </is>
      </c>
    </row>
    <row r="5" ht="45.75" customHeight="1" s="38">
      <c r="A5" s="43" t="n">
        <v>1</v>
      </c>
      <c r="B5" s="43" t="inlineStr">
        <is>
          <t>01/03 a 04/03/2026</t>
        </is>
      </c>
      <c r="C5" s="43" t="n">
        <v>4</v>
      </c>
      <c r="D5" s="43" t="n">
        <v>13</v>
      </c>
      <c r="E5" s="43">
        <f>C5+D5</f>
        <v/>
      </c>
      <c r="F5" s="59">
        <f>E5/108</f>
        <v/>
      </c>
      <c r="G5" s="44" t="inlineStr">
        <is>
          <t>Preparacao plano v4 (32p). Reuniao kick-off CEO+Gerente (02/03). Reuniao diagnostico TI+Operacao (03/03). Revisao com Marco Lauria I2AI. Atas formais. Documento Q&amp;A 158 perguntas. Planilha controle.</t>
        </is>
      </c>
    </row>
    <row r="6" ht="15" customHeight="1" s="38">
      <c r="A6" s="47" t="n">
        <v>2</v>
      </c>
      <c r="B6" s="47" t="inlineStr">
        <is>
          <t>05/03/2026</t>
        </is>
      </c>
      <c r="C6" s="47" t="n">
        <v>2.5</v>
      </c>
      <c r="D6" s="47" t="n"/>
      <c r="E6" s="47">
        <f>C6+D6</f>
        <v/>
      </c>
      <c r="F6" s="60">
        <f>SUM(E5:E6)/108</f>
        <v/>
      </c>
      <c r="G6" s="48" t="inlineStr">
        <is>
          <t>Imersão Técnica TI com Daniel. Mapeamento infraestrutura, hardware, rede, backups, segurança.</t>
        </is>
      </c>
    </row>
    <row r="7" ht="15" customHeight="1" s="38">
      <c r="A7" s="43" t="n">
        <v>3</v>
      </c>
      <c r="B7" s="43" t="n"/>
      <c r="C7" s="43" t="n"/>
      <c r="D7" s="43" t="n"/>
      <c r="E7" s="43">
        <f>C7+D7</f>
        <v/>
      </c>
      <c r="F7" s="59">
        <f>SUM(E5:E7)/108</f>
        <v/>
      </c>
      <c r="G7" s="44" t="n"/>
    </row>
    <row r="8" ht="15" customHeight="1" s="38">
      <c r="A8" s="47" t="n">
        <v>4</v>
      </c>
      <c r="B8" s="47" t="n"/>
      <c r="C8" s="47" t="n"/>
      <c r="D8" s="47" t="n"/>
      <c r="E8" s="47">
        <f>C8+D8</f>
        <v/>
      </c>
      <c r="F8" s="60">
        <f>SUM(E5:E8)/108</f>
        <v/>
      </c>
      <c r="G8" s="48" t="n"/>
    </row>
    <row r="9" ht="15" customHeight="1" s="38">
      <c r="A9" s="43" t="n">
        <v>5</v>
      </c>
      <c r="B9" s="43" t="n"/>
      <c r="C9" s="43" t="n"/>
      <c r="D9" s="43" t="n"/>
      <c r="E9" s="43">
        <f>C9+D9</f>
        <v/>
      </c>
      <c r="F9" s="59">
        <f>SUM(E5:E9)/108</f>
        <v/>
      </c>
      <c r="G9" s="44" t="n"/>
    </row>
    <row r="10" ht="15" customHeight="1" s="38">
      <c r="A10" s="47" t="n">
        <v>6</v>
      </c>
      <c r="B10" s="47" t="n"/>
      <c r="C10" s="47" t="n"/>
      <c r="D10" s="47" t="n"/>
      <c r="E10" s="47">
        <f>C10+D10</f>
        <v/>
      </c>
      <c r="F10" s="60">
        <f>SUM(E5:E10)/108</f>
        <v/>
      </c>
      <c r="G10" s="48" t="n"/>
    </row>
    <row r="11" ht="15" customHeight="1" s="38">
      <c r="A11" s="43" t="n">
        <v>7</v>
      </c>
      <c r="B11" s="43" t="n"/>
      <c r="C11" s="43" t="n"/>
      <c r="D11" s="43" t="n"/>
      <c r="E11" s="43">
        <f>C11+D11</f>
        <v/>
      </c>
      <c r="F11" s="59">
        <f>SUM(E5:E11)/108</f>
        <v/>
      </c>
      <c r="G11" s="44" t="n"/>
    </row>
    <row r="12" ht="15" customHeight="1" s="38">
      <c r="A12" s="47" t="n">
        <v>8</v>
      </c>
      <c r="B12" s="47" t="n"/>
      <c r="C12" s="47" t="n"/>
      <c r="D12" s="47" t="n"/>
      <c r="E12" s="47">
        <f>C12+D12</f>
        <v/>
      </c>
      <c r="F12" s="60">
        <f>SUM(E5:E12)/108</f>
        <v/>
      </c>
      <c r="G12" s="48" t="n"/>
    </row>
    <row r="13" ht="15" customHeight="1" s="38">
      <c r="A13" s="43" t="n">
        <v>9</v>
      </c>
      <c r="B13" s="43" t="n"/>
      <c r="C13" s="43" t="n"/>
      <c r="D13" s="43" t="n"/>
      <c r="E13" s="43">
        <f>C13+D13</f>
        <v/>
      </c>
      <c r="F13" s="59">
        <f>SUM(E5:E13)/108</f>
        <v/>
      </c>
      <c r="G13" s="44" t="n"/>
    </row>
    <row r="14" ht="15" customHeight="1" s="38">
      <c r="A14" s="47" t="n">
        <v>10</v>
      </c>
      <c r="B14" s="47" t="n"/>
      <c r="C14" s="47" t="n"/>
      <c r="D14" s="47" t="n"/>
      <c r="E14" s="47">
        <f>C14+D14</f>
        <v/>
      </c>
      <c r="F14" s="60">
        <f>SUM(E5:E14)/108</f>
        <v/>
      </c>
      <c r="G14" s="48" t="n"/>
    </row>
    <row r="15" ht="15" customHeight="1" s="38">
      <c r="A15" s="43" t="n">
        <v>11</v>
      </c>
      <c r="B15" s="43" t="n"/>
      <c r="C15" s="43" t="n"/>
      <c r="D15" s="43" t="n"/>
      <c r="E15" s="43">
        <f>C15+D15</f>
        <v/>
      </c>
      <c r="F15" s="59">
        <f>SUM(E5:E15)/108</f>
        <v/>
      </c>
      <c r="G15" s="44" t="n"/>
    </row>
    <row r="16" ht="15" customHeight="1" s="38">
      <c r="A16" s="47" t="n">
        <v>12</v>
      </c>
      <c r="B16" s="47" t="n"/>
      <c r="C16" s="47" t="n"/>
      <c r="D16" s="47" t="n"/>
      <c r="E16" s="47">
        <f>C16+D16</f>
        <v/>
      </c>
      <c r="F16" s="60">
        <f>SUM(E5:E16)/108</f>
        <v/>
      </c>
      <c r="G16" s="48" t="n"/>
    </row>
    <row r="17" ht="15" customHeight="1" s="38">
      <c r="A17" s="43" t="n">
        <v>13</v>
      </c>
      <c r="B17" s="43" t="n"/>
      <c r="C17" s="43" t="n"/>
      <c r="D17" s="43" t="n"/>
      <c r="E17" s="43">
        <f>C17+D17</f>
        <v/>
      </c>
      <c r="F17" s="59">
        <f>SUM(E5:E17)/108</f>
        <v/>
      </c>
      <c r="G17" s="44" t="n"/>
    </row>
    <row r="18" ht="15" customHeight="1" s="38">
      <c r="A18" s="61" t="inlineStr">
        <is>
          <t>TOTAL ACUMULADO</t>
        </is>
      </c>
      <c r="B18" s="62" t="n"/>
      <c r="C18" s="61">
        <f>SUM(C5:C17)</f>
        <v/>
      </c>
      <c r="D18" s="61">
        <f>SUM(D5:D17)</f>
        <v/>
      </c>
      <c r="E18" s="61">
        <f>SUM(E5:E17)</f>
        <v/>
      </c>
      <c r="F18" s="63">
        <f>E18/108</f>
        <v/>
      </c>
      <c r="G18" s="61" t="n"/>
    </row>
    <row r="20" ht="15" customHeight="1" s="38">
      <c r="A20" s="64" t="inlineStr">
        <is>
          <t>Referencia:</t>
        </is>
      </c>
    </row>
    <row r="21" ht="15" customHeight="1" s="38">
      <c r="A21" s="65" t="inlineStr">
        <is>
          <t>Fase 1 (POC): 108 horas contratadas (12 semanas x 9h)</t>
        </is>
      </c>
    </row>
    <row r="22" ht="15" customHeight="1" s="38">
      <c r="A22" s="65" t="inlineStr">
        <is>
          <t>Fase 1 inclui: 36h presenciais + 72h remotas + visitas benchmarking (24h adicionais)</t>
        </is>
      </c>
    </row>
    <row r="23" ht="15" customHeight="1" s="38">
      <c r="A23" s="65" t="inlineStr">
        <is>
          <t>Meta Go/No-Go: CSAT &gt;= 4.5, tempo resposta &lt; 10s, dashboard funcional</t>
        </is>
      </c>
    </row>
  </sheetData>
  <mergeCells count="3">
    <mergeCell ref="A18:B18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6F00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37" min="1" max="4"/>
  </cols>
  <sheetData>
    <row r="1" ht="17.25" customHeight="1" s="38">
      <c r="A1" s="66" t="inlineStr">
        <is>
          <t>DASHBOARD — VISAO EXECUTIVA</t>
        </is>
      </c>
    </row>
    <row r="3" ht="15" customHeight="1" s="38">
      <c r="A3" s="67" t="inlineStr">
        <is>
          <t>Total Horas Realizadas</t>
        </is>
      </c>
      <c r="C3" s="68" t="inlineStr">
        <is>
          <t>de 108h (Fase 1)</t>
        </is>
      </c>
    </row>
    <row r="4" ht="21.75" customHeight="1" s="38">
      <c r="A4" s="69">
        <f>'Resumo Semanal'!E18</f>
        <v/>
      </c>
    </row>
    <row r="6" ht="15" customHeight="1" s="38">
      <c r="A6" s="67" t="inlineStr">
        <is>
          <t>% Conclusao Fase 1</t>
        </is>
      </c>
      <c r="C6" s="68" t="inlineStr">
        <is>
          <t>Meta: 100% em 12 semanas</t>
        </is>
      </c>
    </row>
    <row r="7" ht="21.75" customHeight="1" s="38">
      <c r="A7" s="70">
        <f>'Resumo Semanal'!F18</f>
        <v/>
      </c>
    </row>
    <row r="9" ht="15" customHeight="1" s="38">
      <c r="A9" s="67" t="inlineStr">
        <is>
          <t>Reunioes Presenciais</t>
        </is>
      </c>
      <c r="C9" s="68" t="inlineStr">
        <is>
          <t>na Construfic</t>
        </is>
      </c>
    </row>
    <row r="10" ht="21.75" customHeight="1" s="38">
      <c r="A10" s="71">
        <f>COUNTIF('Registro de Horas'!C:C,"Reuniao Presencial")</f>
        <v/>
      </c>
    </row>
    <row r="12" ht="15" customHeight="1" s="38">
      <c r="A12" s="67" t="inlineStr">
        <is>
          <t>Perguntas Respondidas</t>
        </is>
      </c>
      <c r="C12" s="68" t="inlineStr">
        <is>
          <t>Cobertura roteiros: 46%</t>
        </is>
      </c>
    </row>
    <row r="13" ht="21.75" customHeight="1" s="38">
      <c r="A13" s="72" t="inlineStr">
        <is>
          <t>44 de 158</t>
        </is>
      </c>
    </row>
    <row r="16" ht="15" customHeight="1" s="38">
      <c r="A16" s="73" t="inlineStr">
        <is>
          <t>MARCOS DO PROJETO</t>
        </is>
      </c>
    </row>
    <row r="17" ht="15" customHeight="1" s="38">
      <c r="A17" s="41" t="inlineStr">
        <is>
          <t>Periodo</t>
        </is>
      </c>
      <c r="B17" s="41" t="inlineStr">
        <is>
          <t>Marco</t>
        </is>
      </c>
      <c r="C17" s="41" t="inlineStr">
        <is>
          <t>Status</t>
        </is>
      </c>
    </row>
    <row r="18" ht="15" customHeight="1" s="38">
      <c r="A18" s="74" t="inlineStr">
        <is>
          <t>Semana 1</t>
        </is>
      </c>
      <c r="B18" s="75" t="inlineStr">
        <is>
          <t>Kick-off + Diagnostico + Entrevistas iniciais</t>
        </is>
      </c>
      <c r="C18" s="76" t="inlineStr">
        <is>
          <t>Concluido</t>
        </is>
      </c>
    </row>
    <row r="19" ht="15" customHeight="1" s="38">
      <c r="A19" s="74" t="inlineStr">
        <is>
          <t>Semana 2</t>
        </is>
      </c>
      <c r="B19" s="75" t="inlineStr">
        <is>
          <t>Aprofundamento TI + Entrevistas vendedores</t>
        </is>
      </c>
      <c r="C19" s="77" t="inlineStr">
        <is>
          <t>Em andamento</t>
        </is>
      </c>
    </row>
    <row r="20" ht="15" customHeight="1" s="38">
      <c r="A20" s="74" t="inlineStr">
        <is>
          <t>Semana 3-4</t>
        </is>
      </c>
      <c r="B20" s="75" t="inlineStr">
        <is>
          <t>Visitas benchmarking (Leroy, Unicamp)</t>
        </is>
      </c>
      <c r="C20" s="78" t="inlineStr">
        <is>
          <t>Pendente</t>
        </is>
      </c>
    </row>
    <row r="21" ht="15" customHeight="1" s="38">
      <c r="A21" s="74" t="inlineStr">
        <is>
          <t>Mes 2</t>
        </is>
      </c>
      <c r="B21" s="75" t="inlineStr">
        <is>
          <t>Dashboard Metabase + ETL dados Santri</t>
        </is>
      </c>
      <c r="C21" s="78" t="inlineStr">
        <is>
          <t>Pendente</t>
        </is>
      </c>
    </row>
    <row r="22" ht="15" customHeight="1" s="38">
      <c r="A22" s="74" t="inlineStr">
        <is>
          <t>Mes 3</t>
        </is>
      </c>
      <c r="B22" s="75" t="inlineStr">
        <is>
          <t>Chatbot RAG piloto + Go/No-Go</t>
        </is>
      </c>
      <c r="C22" s="78" t="inlineStr">
        <is>
          <t>Pendente</t>
        </is>
      </c>
    </row>
  </sheetData>
  <mergeCells count="14">
    <mergeCell ref="A4:B4"/>
    <mergeCell ref="A1:D1"/>
    <mergeCell ref="C12:D13"/>
    <mergeCell ref="A7:B7"/>
    <mergeCell ref="C6:D7"/>
    <mergeCell ref="A10:B10"/>
    <mergeCell ref="A13:B13"/>
    <mergeCell ref="A16:D16"/>
    <mergeCell ref="A9:B9"/>
    <mergeCell ref="C9:D10"/>
    <mergeCell ref="A3:B3"/>
    <mergeCell ref="A6:B6"/>
    <mergeCell ref="C3:D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2026-03-04T16:23:17Z</dcterms:created>
  <dcterms:modified xmlns:dcterms="http://purl.org/dc/terms/" xmlns:xsi="http://www.w3.org/2001/XMLSchema-instance" xsi:type="dcterms:W3CDTF">2026-03-05T18:17:53Z</dcterms:modified>
  <cp:revision>0</cp:revision>
</cp:coreProperties>
</file>